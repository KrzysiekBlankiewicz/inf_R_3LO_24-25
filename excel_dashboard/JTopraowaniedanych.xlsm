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C:\Users\jacek.tyzo\Desktop\excel\"/>
    </mc:Choice>
  </mc:AlternateContent>
  <xr:revisionPtr revIDLastSave="0" documentId="13_ncr:1_{BB242EF3-0971-4BB9-8715-40546CF520C1}" xr6:coauthVersionLast="47" xr6:coauthVersionMax="47" xr10:uidLastSave="{00000000-0000-0000-0000-000000000000}"/>
  <bookViews>
    <workbookView xWindow="-120" yWindow="-120" windowWidth="29040" windowHeight="15720" activeTab="3" xr2:uid="{0752B883-0E7B-4E19-83E7-AA77B8809AAE}"/>
  </bookViews>
  <sheets>
    <sheet name="2024-2025" sheetId="3" r:id="rId1"/>
    <sheet name="2023-2024" sheetId="2" r:id="rId2"/>
    <sheet name="2022-2023" sheetId="6" r:id="rId3"/>
    <sheet name="ZESTAWIENI" sheetId="7" r:id="rId4"/>
    <sheet name="MAPAZWYCĘZCY" sheetId="8" r:id="rId5"/>
  </sheets>
  <definedNames>
    <definedName name="ExternalData_1" localSheetId="2" hidden="1">'2022-2023'!$A$1:$K$17</definedName>
    <definedName name="ExternalData_1" localSheetId="0" hidden="1">'2024-2025'!$A$1:$L$17</definedName>
    <definedName name="ExternalData_2" localSheetId="1" hidden="1">'2023-2024'!$A$1:$L$17</definedName>
    <definedName name="WINS">ZESTAWIENI!$E$9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2" i="6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2" i="3"/>
  <c r="E3" i="7"/>
  <c r="E4" i="7"/>
  <c r="E5" i="7"/>
  <c r="F5" i="7"/>
  <c r="F4" i="7"/>
  <c r="F3" i="7"/>
  <c r="J10" i="7" l="1"/>
  <c r="J11" i="7"/>
  <c r="J12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48D6AF-7B2D-4210-88BE-6EA3E53B2D78}" keepAlive="1" name="Zapytanie — dane20222023" description="Połączenie z zapytaniem „dane20222023” w skoroszycie." type="5" refreshedVersion="8" background="1" saveData="1">
    <dbPr connection="Provider=Microsoft.Mashup.OleDb.1;Data Source=$Workbook$;Location=dane20222023;Extended Properties=&quot;&quot;" command="SELECT * FROM [dane20222023]"/>
  </connection>
  <connection id="2" xr16:uid="{B648FB4D-2499-48AB-A963-F34A54F6E92C}" keepAlive="1" name="Zapytanie — dane202324" description="Połączenie z zapytaniem „dane202324” w skoroszycie." type="5" refreshedVersion="0" background="1">
    <dbPr connection="Provider=Microsoft.Mashup.OleDb.1;Data Source=$Workbook$;Location=dane202324;Extended Properties=&quot;&quot;" command="SELECT * FROM [dane202324]"/>
  </connection>
  <connection id="3" xr16:uid="{5E661CA4-ABC2-4DF5-B5EE-0D0A88AB41D3}" keepAlive="1" name="Zapytanie — dane202324 (2)" description="Połączenie z zapytaniem „dane202324 (2)” w skoroszycie." type="5" refreshedVersion="8" background="1" saveData="1">
    <dbPr connection="Provider=Microsoft.Mashup.OleDb.1;Data Source=$Workbook$;Location=&quot;dane202324 (2)&quot;;Extended Properties=&quot;&quot;" command="SELECT * FROM [dane202324 (2)]"/>
  </connection>
  <connection id="4" xr16:uid="{7C962C93-66CE-4555-9C62-F8BDCD593D9F}" keepAlive="1" name="Zapytanie — danesiata" description="Połączenie z zapytaniem „danesiata” w skoroszycie." type="5" refreshedVersion="0" background="1">
    <dbPr connection="Provider=Microsoft.Mashup.OleDb.1;Data Source=$Workbook$;Location=danesiata;Extended Properties=&quot;&quot;" command="SELECT * FROM [danesiata]"/>
  </connection>
  <connection id="5" xr16:uid="{21B57666-75E4-4474-AC17-678ADE4BBD7D}" keepAlive="1" name="Zapytanie — danesiata (2)" description="Połączenie z zapytaniem „danesiata (2)” w skoroszycie." type="5" refreshedVersion="8" background="1" saveData="1">
    <dbPr connection="Provider=Microsoft.Mashup.OleDb.1;Data Source=$Workbook$;Location=&quot;danesiata (2)&quot;;Extended Properties=&quot;&quot;" command="SELECT * FROM [danesiata (2)]"/>
  </connection>
</connections>
</file>

<file path=xl/sharedStrings.xml><?xml version="1.0" encoding="utf-8"?>
<sst xmlns="http://schemas.openxmlformats.org/spreadsheetml/2006/main" count="91" uniqueCount="44">
  <si>
    <t>Placement</t>
  </si>
  <si>
    <t>Team</t>
  </si>
  <si>
    <t>POINTS</t>
  </si>
  <si>
    <t>PLAYED</t>
  </si>
  <si>
    <t>WIN</t>
  </si>
  <si>
    <t>LOSES</t>
  </si>
  <si>
    <t>3-0</t>
  </si>
  <si>
    <t>3-1</t>
  </si>
  <si>
    <t>3-2</t>
  </si>
  <si>
    <t>2-3</t>
  </si>
  <si>
    <t>1-3</t>
  </si>
  <si>
    <t>0-3</t>
  </si>
  <si>
    <t>Jastrzębski Węgiel</t>
  </si>
  <si>
    <t>PGE Projekt Warszawa</t>
  </si>
  <si>
    <t>Aluron CMC Warta Zawiercie</t>
  </si>
  <si>
    <t>BOGDANKA LUK Lublin</t>
  </si>
  <si>
    <t>ZAKSA Kędzierzyn-Koźle</t>
  </si>
  <si>
    <t>Steam Hemarpol Norwid Częstochowa</t>
  </si>
  <si>
    <t>Asseco Resovia Rzeszów</t>
  </si>
  <si>
    <t>PGE GiEK SKRA Bełchatów</t>
  </si>
  <si>
    <t>Ślepsk Malow Suwałki</t>
  </si>
  <si>
    <t>Indykpol AZS Olsztyn</t>
  </si>
  <si>
    <t>Cuprum Stilon Gorzów</t>
  </si>
  <si>
    <t>Trefl Gdańsk</t>
  </si>
  <si>
    <t>PSG Stal Nysa</t>
  </si>
  <si>
    <t>Barkom Każany Lwów</t>
  </si>
  <si>
    <t>Nowak-Mosty MKS Będzin</t>
  </si>
  <si>
    <t>GKS Katowice</t>
  </si>
  <si>
    <t>Projekt Warszawa</t>
  </si>
  <si>
    <t>PGE GiEK Skra Bełchatów</t>
  </si>
  <si>
    <t>Grupa Azoty ZAKSA Kędzierzyn-Koźle</t>
  </si>
  <si>
    <t>KGHM Cuprum Lubin</t>
  </si>
  <si>
    <t>Exact Systems Hemarpol Częstochowa</t>
  </si>
  <si>
    <t>Enea Czarni Radom</t>
  </si>
  <si>
    <t>LUK Lublin</t>
  </si>
  <si>
    <t>PGE Skra Bełchatów</t>
  </si>
  <si>
    <t>Cuprum Lubin</t>
  </si>
  <si>
    <t>Cerrad Enea Czarni Radom</t>
  </si>
  <si>
    <t>BBTS Bielsko-Biała</t>
  </si>
  <si>
    <t>2022-2023</t>
  </si>
  <si>
    <t>2023-2024</t>
  </si>
  <si>
    <t>2024-2025</t>
  </si>
  <si>
    <t>WINS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</si>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</sst>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238"/>
      <scheme val="minor"/>
    </font>
    <font>
      <b/>
      <i/>
      <sz val="12"/>
      <color theme="1"/>
      <name val="Aharoni"/>
      <charset val="177"/>
    </font>
    <font>
      <sz val="11"/>
      <color rgb="FF242424"/>
      <name val="Calibri"/>
      <family val="2"/>
      <charset val="238"/>
    </font>
    <font>
      <b/>
      <sz val="11"/>
      <color rgb="FF800000"/>
      <name val="Aptos Narrow"/>
      <family val="2"/>
    </font>
    <font>
      <sz val="11"/>
      <color theme="0"/>
      <name val="Aptos Narrow"/>
      <family val="2"/>
      <charset val="238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quotePrefix="1" applyNumberFormat="1"/>
    <xf numFmtId="49" fontId="0" fillId="0" borderId="0" xfId="0" applyNumberFormat="1"/>
    <xf numFmtId="0" fontId="1" fillId="0" borderId="0" xfId="0" applyFont="1"/>
    <xf numFmtId="0" fontId="2" fillId="0" borderId="0" xfId="0" applyFont="1"/>
    <xf numFmtId="0" fontId="5" fillId="3" borderId="0" xfId="0" applyFont="1" applyFill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 applyAlignment="1">
      <alignment horizontal="right"/>
    </xf>
    <xf numFmtId="0" fontId="2" fillId="0" borderId="1" xfId="0" applyFont="1" applyBorder="1"/>
    <xf numFmtId="0" fontId="6" fillId="0" borderId="1" xfId="0" applyFont="1" applyBorder="1"/>
    <xf numFmtId="0" fontId="4" fillId="0" borderId="1" xfId="0" applyFont="1" applyBorder="1"/>
  </cellXfs>
  <cellStyles count="1">
    <cellStyle name="Normalny" xfId="0" builtinId="0"/>
  </cellStyles>
  <dxfs count="5"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WINRATE </a:t>
            </a:r>
          </a:p>
        </c:rich>
      </c:tx>
      <c:overlay val="0"/>
      <c:spPr>
        <a:noFill/>
        <a:ln>
          <a:noFill/>
        </a:ln>
        <a:effectLst>
          <a:innerShdw blurRad="279400" dist="63500" dir="12300000">
            <a:prstClr val="black">
              <a:alpha val="50000"/>
            </a:prstClr>
          </a:innerShdw>
        </a:effectLst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30"/>
      <c:rotY val="66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522050224798104"/>
          <c:w val="0.93660904751969787"/>
          <c:h val="0.8527212136343859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3175-4644-BA95-F1347829911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3175-4644-BA95-F134782991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ln>
                      <a:gradFill>
                        <a:gsLst>
                          <a:gs pos="0">
                            <a:schemeClr val="tx2"/>
                          </a:gs>
                          <a:gs pos="84000">
                            <a:schemeClr val="bg1"/>
                          </a:gs>
                          <a:gs pos="93000">
                            <a:schemeClr val="accent1">
                              <a:lumMod val="45000"/>
                              <a:lumOff val="55000"/>
                            </a:schemeClr>
                          </a:gs>
                          <a:gs pos="100000">
                            <a:schemeClr val="accent1">
                              <a:lumMod val="30000"/>
                              <a:lumOff val="70000"/>
                            </a:schemeClr>
                          </a:gs>
                        </a:gsLst>
                        <a:lin ang="5400000" scaled="1"/>
                      </a:gradFill>
                    </a:ln>
                    <a:solidFill>
                      <a:schemeClr val="bg1">
                        <a:lumMod val="95000"/>
                        <a:alpha val="96000"/>
                      </a:schemeClr>
                    </a:solidFill>
                    <a:effectLst>
                      <a:glow rad="203200">
                        <a:schemeClr val="accent5">
                          <a:satMod val="175000"/>
                          <a:alpha val="12000"/>
                        </a:schemeClr>
                      </a:glow>
                      <a:outerShdw blurRad="63500" dist="50800" dir="600000" algn="ctr" rotWithShape="0">
                        <a:srgbClr val="000000">
                          <a:alpha val="43137"/>
                        </a:srgbClr>
                      </a:outerShdw>
                      <a:reflection blurRad="6350" stA="60000" endA="900" endPos="57000" dir="5400000" sy="-100000" algn="bl" rotWithShape="0"/>
                    </a:effectLst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ZESTAWIENI!$E$10:$F$10</c:f>
              <c:numCache>
                <c:formatCode>General</c:formatCode>
                <c:ptCount val="2"/>
                <c:pt idx="0">
                  <c:v>13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5-4644-BA95-F1347829911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174115825449876"/>
          <c:y val="0.24255723242927968"/>
          <c:w val="5.6795931758530184E-2"/>
          <c:h val="0.577547389909594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outerShdw blurRad="76200" dist="12700" dir="2700000" sy="-23000" kx="-800400" algn="bl" rotWithShape="0">
        <a:prstClr val="black">
          <a:alpha val="20000"/>
        </a:prstClr>
      </a:outerShdw>
    </a:effectLst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838199</xdr:colOff>
      <xdr:row>5</xdr:row>
      <xdr:rowOff>157162</xdr:rowOff>
    </xdr:from>
    <xdr:to>
      <xdr:col>13</xdr:col>
      <xdr:colOff>276224</xdr:colOff>
      <xdr:row>28</xdr:row>
      <xdr:rowOff>133350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D7BD3553-24E9-F7A6-6BA5-2A7DDDD0A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123825</xdr:rowOff>
        </xdr:from>
        <xdr:to>
          <xdr:col>1</xdr:col>
          <xdr:colOff>2257425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800000"/>
                  </a:solidFill>
                  <a:latin typeface="Aptos Narrow"/>
                </a:rPr>
                <a:t>2022-2023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1</xdr:col>
          <xdr:colOff>2266950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800000"/>
                  </a:solidFill>
                  <a:latin typeface="Aptos Narrow"/>
                </a:rPr>
                <a:t>2023-2024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85725</xdr:rowOff>
        </xdr:from>
        <xdr:to>
          <xdr:col>1</xdr:col>
          <xdr:colOff>2257425</xdr:colOff>
          <xdr:row>12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800000"/>
                  </a:solidFill>
                  <a:latin typeface="Aptos Narrow"/>
                </a:rPr>
                <a:t>2024-2025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800000"/>
                  </a:solidFill>
                  <a:latin typeface="Aptos Narrow"/>
                </a:rPr>
                <a:t>2024-2025</a:t>
              </a:r>
            </a:p>
            <a:p>
              <a:pPr algn="ctr" rtl="0">
                <a:defRPr sz="1000"/>
              </a:pPr>
              <a:endParaRPr lang="pl-PL" sz="1100" b="1" i="0" u="none" strike="noStrike" baseline="0">
                <a:solidFill>
                  <a:srgbClr val="8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DB435AB8-35C4-4C9A-9D3C-D92BE75BFA62}" autoFormatId="16" applyNumberFormats="0" applyBorderFormats="0" applyFontFormats="0" applyPatternFormats="0" applyAlignmentFormats="0" applyWidthHeightFormats="0">
  <queryTableRefresh nextId="19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  <queryTableDeletedFields count="6">
      <deletedField name="Column7"/>
      <deletedField name="Column8"/>
      <deletedField name="Column9"/>
      <deletedField name="Column10"/>
      <deletedField name="Column11"/>
      <deletedField name="Column1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742AF72-F1B2-4735-BC18-467FB9FAE49A}" autoFormatId="16" applyNumberFormats="0" applyBorderFormats="0" applyFontFormats="0" applyPatternFormats="0" applyAlignmentFormats="0" applyWidthHeightFormats="0">
  <queryTableRefresh nextId="19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  <queryTableDeletedFields count="6">
      <deletedField name="Column7"/>
      <deletedField name="Column8"/>
      <deletedField name="Column9"/>
      <deletedField name="Column10"/>
      <deletedField name="Column11"/>
      <deletedField name="Column1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DFD34E0-CA37-413D-AFED-638ED40B4B04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dataBound="0" tableColumnId="19"/>
    </queryTableFields>
    <queryTableDeletedFields count="7">
      <deletedField name="Column6"/>
      <deletedField name="Column7"/>
      <deletedField name="Column8"/>
      <deletedField name="Column9"/>
      <deletedField name="Column10"/>
      <deletedField name="Column11"/>
      <deletedField name="Column12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4DD7B3-9B18-4E91-98D8-87B9AB642F28}" name="danesiata__2" displayName="danesiata__2" ref="A1:L17" tableType="queryTable" totalsRowShown="0">
  <autoFilter ref="A1:L17" xr:uid="{324DD7B3-9B18-4E91-98D8-87B9AB642F28}"/>
  <tableColumns count="12">
    <tableColumn id="1" xr3:uid="{A069383F-21A0-43E6-B6B9-3C3BB168C52A}" uniqueName="1" name="Placement" queryTableFieldId="1"/>
    <tableColumn id="2" xr3:uid="{5488EDEA-888A-4DCA-AEBE-9A87AB0C688A}" uniqueName="2" name="Team" queryTableFieldId="2" dataDxfId="4"/>
    <tableColumn id="3" xr3:uid="{054F342F-9EFB-4CFB-A481-7AB88BBA2288}" uniqueName="3" name="POINTS" queryTableFieldId="3"/>
    <tableColumn id="4" xr3:uid="{9AC171C4-C2BD-46B3-9F85-16C8F68EAFBF}" uniqueName="4" name="PLAYED" queryTableFieldId="4"/>
    <tableColumn id="5" xr3:uid="{11B4D19B-7CD0-4C74-8E10-D461F9CFBB8F}" uniqueName="5" name="WIN" queryTableFieldId="5"/>
    <tableColumn id="6" xr3:uid="{A1925CDD-4030-418C-A291-ECDBEB6A706A}" uniqueName="6" name="LOSES" queryTableFieldId="6"/>
    <tableColumn id="13" xr3:uid="{A6702380-ED52-40AC-9B83-67D910FDF33C}" uniqueName="13" name="3-0" queryTableFieldId="13"/>
    <tableColumn id="14" xr3:uid="{C673508E-5315-4B7C-B126-5433B47B9FE5}" uniqueName="14" name="3-1" queryTableFieldId="14"/>
    <tableColumn id="15" xr3:uid="{0EFB3639-A94F-401B-8BD3-B2A388D64F11}" uniqueName="15" name="3-2" queryTableFieldId="15"/>
    <tableColumn id="16" xr3:uid="{B1DC37FF-D655-40CB-9E93-6E899D03E6C6}" uniqueName="16" name="2-3" queryTableFieldId="16"/>
    <tableColumn id="17" xr3:uid="{8D996B3D-AB6E-48AE-A1D9-3D59F0EF34D5}" uniqueName="17" name="1-3" queryTableFieldId="17"/>
    <tableColumn id="18" xr3:uid="{6E15F8DA-2802-4648-9A64-835D22E782F8}" uniqueName="18" name="0-3" queryTableField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DC47B1-34A9-41B7-8B60-FA448F14167B}" name="dane2023245" displayName="dane2023245" ref="A1:L17" tableType="queryTable" totalsRowShown="0" headerRowDxfId="3">
  <autoFilter ref="A1:L17" xr:uid="{27DC47B1-34A9-41B7-8B60-FA448F14167B}"/>
  <tableColumns count="12">
    <tableColumn id="1" xr3:uid="{F9AAF4D9-983A-4510-A0CA-200AC09C1D10}" uniqueName="1" name="Placement" queryTableFieldId="1"/>
    <tableColumn id="2" xr3:uid="{18D02CDA-7B51-409F-8A61-631840BE23A4}" uniqueName="2" name="Team" queryTableFieldId="2" dataDxfId="2"/>
    <tableColumn id="3" xr3:uid="{2CE17980-B05F-449D-A981-2ECFC98A99D4}" uniqueName="3" name="POINTS" queryTableFieldId="3"/>
    <tableColumn id="4" xr3:uid="{E705341A-F78E-4986-8FF3-5EA01B49F63A}" uniqueName="4" name="PLAYED" queryTableFieldId="4"/>
    <tableColumn id="5" xr3:uid="{1434A4D3-7A19-42F4-815C-CDDE2D9A5A7E}" uniqueName="5" name="WIN" queryTableFieldId="5"/>
    <tableColumn id="6" xr3:uid="{D1F21D6B-9F1B-4362-99B7-CB186DBC9266}" uniqueName="6" name="LOSES" queryTableFieldId="6"/>
    <tableColumn id="13" xr3:uid="{F0FA8409-1168-4E57-ACCB-9BE64D1559D9}" uniqueName="13" name="3-0" queryTableFieldId="13"/>
    <tableColumn id="14" xr3:uid="{9C2EA2D7-7D52-42CB-8DB0-E32980529CEC}" uniqueName="14" name="3-1" queryTableFieldId="14"/>
    <tableColumn id="15" xr3:uid="{3AA34D7D-C521-49F4-9638-60BFF8B64C6C}" uniqueName="15" name="3-2" queryTableFieldId="15"/>
    <tableColumn id="16" xr3:uid="{9C8B4520-8AAC-4A32-AF61-CBBCEC30ABAB}" uniqueName="16" name="2-3" queryTableFieldId="16"/>
    <tableColumn id="17" xr3:uid="{128F94A8-BC5C-4149-B321-FEA0BBD10D49}" uniqueName="17" name="1-3" queryTableFieldId="17"/>
    <tableColumn id="18" xr3:uid="{1811135A-8F07-44E5-A9AC-A1D6C1AFCF33}" uniqueName="18" name="0-3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514A78-EB23-43CB-A1C7-019EC611828F}" name="dane20222023" displayName="dane20222023" ref="A1:L17" tableType="queryTable" totalsRowShown="0" headerRowDxfId="1">
  <autoFilter ref="A1:L17" xr:uid="{FC514A78-EB23-43CB-A1C7-019EC611828F}"/>
  <tableColumns count="12">
    <tableColumn id="1" xr3:uid="{2258C8FB-0328-4567-809D-D52FF687522B}" uniqueName="1" name="Placement" queryTableFieldId="1"/>
    <tableColumn id="2" xr3:uid="{A24CE8A5-5BF5-4B81-A6BB-D42E8277085E}" uniqueName="2" name="Team" queryTableFieldId="2" dataDxfId="0"/>
    <tableColumn id="3" xr3:uid="{30331BAA-FE66-4704-8F75-249CEBEE07D2}" uniqueName="3" name="POINTS" queryTableFieldId="3"/>
    <tableColumn id="4" xr3:uid="{84A7BFC0-126B-4958-A2FA-2C83572D556B}" uniqueName="4" name="PLAYED" queryTableFieldId="4"/>
    <tableColumn id="5" xr3:uid="{376482A3-E498-4C50-9F19-D0C698D526D8}" uniqueName="5" name="WIN" queryTableFieldId="5"/>
    <tableColumn id="13" xr3:uid="{B9D7ECB1-2CAC-4E9B-A2B2-1253E6C3446A}" uniqueName="13" name="LOSES" queryTableFieldId="13"/>
    <tableColumn id="14" xr3:uid="{98A3FDE9-27B5-422A-8614-30D83CB1592F}" uniqueName="14" name="3-0" queryTableFieldId="14"/>
    <tableColumn id="15" xr3:uid="{A6C95565-DDF8-402C-8DC5-79EC8B0AE915}" uniqueName="15" name="3-1" queryTableFieldId="15"/>
    <tableColumn id="16" xr3:uid="{FD512926-69C8-4C3A-80F9-124B6CAF0393}" uniqueName="16" name="3-2" queryTableFieldId="16"/>
    <tableColumn id="17" xr3:uid="{E7241CF6-B94E-47F0-8217-0DC1283780F6}" uniqueName="17" name="2-3" queryTableFieldId="17"/>
    <tableColumn id="18" xr3:uid="{C1115A60-C44C-4B80-8918-40960D0EBCF0}" uniqueName="18" name="1-3" queryTableFieldId="18"/>
    <tableColumn id="19" xr3:uid="{439C143B-0D96-4142-8FD5-FD788D59A52C}" uniqueName="19" name="0-3" queryTableField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83ECD-65B5-48C8-8DCC-0F28167AEE00}">
  <dimension ref="A1:L17"/>
  <sheetViews>
    <sheetView workbookViewId="0">
      <selection activeCell="C24" sqref="C24"/>
    </sheetView>
  </sheetViews>
  <sheetFormatPr defaultRowHeight="15" x14ac:dyDescent="0.25"/>
  <cols>
    <col min="1" max="1" width="12.85546875" bestFit="1" customWidth="1"/>
    <col min="2" max="2" width="35.28515625" bestFit="1" customWidth="1"/>
    <col min="3" max="6" width="11.42578125" bestFit="1" customWidth="1"/>
    <col min="7" max="16" width="12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t="s">
        <v>11</v>
      </c>
    </row>
    <row r="2" spans="1:12" x14ac:dyDescent="0.25">
      <c r="A2">
        <v>1</v>
      </c>
      <c r="B2" t="s">
        <v>12</v>
      </c>
      <c r="C2">
        <v>54</v>
      </c>
      <c r="D2">
        <v>21</v>
      </c>
      <c r="E2">
        <v>17</v>
      </c>
      <c r="F2">
        <f>danesiata__2[[#This Row],[PLAYED]]-danesiata__2[[#This Row],[WIN]]</f>
        <v>4</v>
      </c>
      <c r="G2">
        <v>7</v>
      </c>
      <c r="H2">
        <v>10</v>
      </c>
      <c r="I2">
        <v>0</v>
      </c>
      <c r="J2">
        <v>3</v>
      </c>
      <c r="K2">
        <v>1</v>
      </c>
      <c r="L2">
        <v>0</v>
      </c>
    </row>
    <row r="3" spans="1:12" x14ac:dyDescent="0.25">
      <c r="A3">
        <v>2</v>
      </c>
      <c r="B3" t="s">
        <v>13</v>
      </c>
      <c r="C3">
        <v>49</v>
      </c>
      <c r="D3">
        <v>21</v>
      </c>
      <c r="E3">
        <v>18</v>
      </c>
      <c r="F3">
        <f>danesiata__2[[#This Row],[PLAYED]]-danesiata__2[[#This Row],[WIN]]</f>
        <v>3</v>
      </c>
      <c r="G3">
        <v>8</v>
      </c>
      <c r="H3">
        <v>5</v>
      </c>
      <c r="I3">
        <v>5</v>
      </c>
      <c r="J3">
        <v>0</v>
      </c>
      <c r="K3">
        <v>3</v>
      </c>
      <c r="L3">
        <v>0</v>
      </c>
    </row>
    <row r="4" spans="1:12" x14ac:dyDescent="0.25">
      <c r="A4">
        <v>3</v>
      </c>
      <c r="B4" t="s">
        <v>14</v>
      </c>
      <c r="C4">
        <v>49</v>
      </c>
      <c r="D4">
        <v>21</v>
      </c>
      <c r="E4">
        <v>16</v>
      </c>
      <c r="F4">
        <f>danesiata__2[[#This Row],[PLAYED]]-danesiata__2[[#This Row],[WIN]]</f>
        <v>5</v>
      </c>
      <c r="G4">
        <v>7</v>
      </c>
      <c r="H4">
        <v>7</v>
      </c>
      <c r="I4">
        <v>2</v>
      </c>
      <c r="J4">
        <v>3</v>
      </c>
      <c r="K4">
        <v>0</v>
      </c>
      <c r="L4">
        <v>2</v>
      </c>
    </row>
    <row r="5" spans="1:12" x14ac:dyDescent="0.25">
      <c r="A5">
        <v>4</v>
      </c>
      <c r="B5" t="s">
        <v>15</v>
      </c>
      <c r="C5">
        <v>43</v>
      </c>
      <c r="D5">
        <v>21</v>
      </c>
      <c r="E5">
        <v>15</v>
      </c>
      <c r="F5">
        <f>danesiata__2[[#This Row],[PLAYED]]-danesiata__2[[#This Row],[WIN]]</f>
        <v>6</v>
      </c>
      <c r="G5">
        <v>6</v>
      </c>
      <c r="H5">
        <v>5</v>
      </c>
      <c r="I5">
        <v>4</v>
      </c>
      <c r="J5">
        <v>2</v>
      </c>
      <c r="K5">
        <v>2</v>
      </c>
      <c r="L5">
        <v>2</v>
      </c>
    </row>
    <row r="6" spans="1:12" x14ac:dyDescent="0.25">
      <c r="A6">
        <v>5</v>
      </c>
      <c r="B6" t="s">
        <v>16</v>
      </c>
      <c r="C6">
        <v>42</v>
      </c>
      <c r="D6">
        <v>20</v>
      </c>
      <c r="E6">
        <v>14</v>
      </c>
      <c r="F6">
        <f>danesiata__2[[#This Row],[PLAYED]]-danesiata__2[[#This Row],[WIN]]</f>
        <v>6</v>
      </c>
      <c r="G6">
        <v>3</v>
      </c>
      <c r="H6">
        <v>9</v>
      </c>
      <c r="I6">
        <v>2</v>
      </c>
      <c r="J6">
        <v>2</v>
      </c>
      <c r="K6">
        <v>1</v>
      </c>
      <c r="L6">
        <v>3</v>
      </c>
    </row>
    <row r="7" spans="1:12" x14ac:dyDescent="0.25">
      <c r="A7">
        <v>6</v>
      </c>
      <c r="B7" t="s">
        <v>17</v>
      </c>
      <c r="C7">
        <v>37</v>
      </c>
      <c r="D7">
        <v>21</v>
      </c>
      <c r="E7">
        <v>13</v>
      </c>
      <c r="F7">
        <f>danesiata__2[[#This Row],[PLAYED]]-danesiata__2[[#This Row],[WIN]]</f>
        <v>8</v>
      </c>
      <c r="G7">
        <v>3</v>
      </c>
      <c r="H7">
        <v>5</v>
      </c>
      <c r="I7">
        <v>5</v>
      </c>
      <c r="J7">
        <v>3</v>
      </c>
      <c r="K7">
        <v>2</v>
      </c>
      <c r="L7">
        <v>3</v>
      </c>
    </row>
    <row r="8" spans="1:12" x14ac:dyDescent="0.25">
      <c r="A8">
        <v>7</v>
      </c>
      <c r="B8" t="s">
        <v>18</v>
      </c>
      <c r="C8">
        <v>34</v>
      </c>
      <c r="D8">
        <v>21</v>
      </c>
      <c r="E8">
        <v>10</v>
      </c>
      <c r="F8">
        <f>danesiata__2[[#This Row],[PLAYED]]-danesiata__2[[#This Row],[WIN]]</f>
        <v>11</v>
      </c>
      <c r="G8">
        <v>3</v>
      </c>
      <c r="H8">
        <v>4</v>
      </c>
      <c r="I8">
        <v>3</v>
      </c>
      <c r="J8">
        <v>7</v>
      </c>
      <c r="K8">
        <v>2</v>
      </c>
      <c r="L8">
        <v>2</v>
      </c>
    </row>
    <row r="9" spans="1:12" x14ac:dyDescent="0.25">
      <c r="A9">
        <v>8</v>
      </c>
      <c r="B9" t="s">
        <v>19</v>
      </c>
      <c r="C9">
        <v>31</v>
      </c>
      <c r="D9">
        <v>21</v>
      </c>
      <c r="E9">
        <v>10</v>
      </c>
      <c r="F9">
        <f>danesiata__2[[#This Row],[PLAYED]]-danesiata__2[[#This Row],[WIN]]</f>
        <v>11</v>
      </c>
      <c r="G9">
        <v>2</v>
      </c>
      <c r="H9">
        <v>5</v>
      </c>
      <c r="I9">
        <v>3</v>
      </c>
      <c r="J9">
        <v>4</v>
      </c>
      <c r="K9">
        <v>3</v>
      </c>
      <c r="L9">
        <v>4</v>
      </c>
    </row>
    <row r="10" spans="1:12" x14ac:dyDescent="0.25">
      <c r="A10">
        <v>9</v>
      </c>
      <c r="B10" t="s">
        <v>20</v>
      </c>
      <c r="C10">
        <v>29</v>
      </c>
      <c r="D10">
        <v>21</v>
      </c>
      <c r="E10">
        <v>11</v>
      </c>
      <c r="F10">
        <f>danesiata__2[[#This Row],[PLAYED]]-danesiata__2[[#This Row],[WIN]]</f>
        <v>10</v>
      </c>
      <c r="G10">
        <v>1</v>
      </c>
      <c r="H10">
        <v>4</v>
      </c>
      <c r="I10">
        <v>6</v>
      </c>
      <c r="J10">
        <v>2</v>
      </c>
      <c r="K10">
        <v>6</v>
      </c>
      <c r="L10">
        <v>2</v>
      </c>
    </row>
    <row r="11" spans="1:12" x14ac:dyDescent="0.25">
      <c r="A11">
        <v>10</v>
      </c>
      <c r="B11" t="s">
        <v>21</v>
      </c>
      <c r="C11">
        <v>28</v>
      </c>
      <c r="D11">
        <v>20</v>
      </c>
      <c r="E11">
        <v>8</v>
      </c>
      <c r="F11">
        <f>danesiata__2[[#This Row],[PLAYED]]-danesiata__2[[#This Row],[WIN]]</f>
        <v>12</v>
      </c>
      <c r="G11">
        <v>5</v>
      </c>
      <c r="H11">
        <v>3</v>
      </c>
      <c r="I11">
        <v>0</v>
      </c>
      <c r="J11">
        <v>4</v>
      </c>
      <c r="K11">
        <v>5</v>
      </c>
      <c r="L11">
        <v>3</v>
      </c>
    </row>
    <row r="12" spans="1:12" x14ac:dyDescent="0.25">
      <c r="A12">
        <v>11</v>
      </c>
      <c r="B12" t="s">
        <v>22</v>
      </c>
      <c r="C12">
        <v>27</v>
      </c>
      <c r="D12">
        <v>21</v>
      </c>
      <c r="E12">
        <v>11</v>
      </c>
      <c r="F12">
        <f>danesiata__2[[#This Row],[PLAYED]]-danesiata__2[[#This Row],[WIN]]</f>
        <v>10</v>
      </c>
      <c r="G12">
        <v>2</v>
      </c>
      <c r="H12">
        <v>3</v>
      </c>
      <c r="I12">
        <v>6</v>
      </c>
      <c r="J12">
        <v>0</v>
      </c>
      <c r="K12">
        <v>4</v>
      </c>
      <c r="L12">
        <v>6</v>
      </c>
    </row>
    <row r="13" spans="1:12" x14ac:dyDescent="0.25">
      <c r="A13">
        <v>12</v>
      </c>
      <c r="B13" t="s">
        <v>23</v>
      </c>
      <c r="C13">
        <v>26</v>
      </c>
      <c r="D13">
        <v>21</v>
      </c>
      <c r="E13">
        <v>8</v>
      </c>
      <c r="F13">
        <f>danesiata__2[[#This Row],[PLAYED]]-danesiata__2[[#This Row],[WIN]]</f>
        <v>13</v>
      </c>
      <c r="G13">
        <v>2</v>
      </c>
      <c r="H13">
        <v>3</v>
      </c>
      <c r="I13">
        <v>3</v>
      </c>
      <c r="J13">
        <v>5</v>
      </c>
      <c r="K13">
        <v>4</v>
      </c>
      <c r="L13">
        <v>4</v>
      </c>
    </row>
    <row r="14" spans="1:12" x14ac:dyDescent="0.25">
      <c r="A14">
        <v>13</v>
      </c>
      <c r="B14" t="s">
        <v>24</v>
      </c>
      <c r="C14">
        <v>18</v>
      </c>
      <c r="D14">
        <v>21</v>
      </c>
      <c r="E14">
        <v>5</v>
      </c>
      <c r="F14">
        <f>danesiata__2[[#This Row],[PLAYED]]-danesiata__2[[#This Row],[WIN]]</f>
        <v>16</v>
      </c>
      <c r="G14">
        <v>1</v>
      </c>
      <c r="H14">
        <v>3</v>
      </c>
      <c r="I14">
        <v>1</v>
      </c>
      <c r="J14">
        <v>4</v>
      </c>
      <c r="K14">
        <v>6</v>
      </c>
      <c r="L14">
        <v>6</v>
      </c>
    </row>
    <row r="15" spans="1:12" x14ac:dyDescent="0.25">
      <c r="A15">
        <v>14</v>
      </c>
      <c r="B15" t="s">
        <v>25</v>
      </c>
      <c r="C15">
        <v>13</v>
      </c>
      <c r="D15">
        <v>21</v>
      </c>
      <c r="E15">
        <v>5</v>
      </c>
      <c r="F15">
        <f>danesiata__2[[#This Row],[PLAYED]]-danesiata__2[[#This Row],[WIN]]</f>
        <v>16</v>
      </c>
      <c r="G15">
        <v>2</v>
      </c>
      <c r="H15">
        <v>0</v>
      </c>
      <c r="I15">
        <v>3</v>
      </c>
      <c r="J15">
        <v>1</v>
      </c>
      <c r="K15">
        <v>12</v>
      </c>
      <c r="L15">
        <v>3</v>
      </c>
    </row>
    <row r="16" spans="1:12" x14ac:dyDescent="0.25">
      <c r="A16">
        <v>15</v>
      </c>
      <c r="B16" t="s">
        <v>26</v>
      </c>
      <c r="C16">
        <v>12</v>
      </c>
      <c r="D16">
        <v>21</v>
      </c>
      <c r="E16">
        <v>3</v>
      </c>
      <c r="F16">
        <f>danesiata__2[[#This Row],[PLAYED]]-danesiata__2[[#This Row],[WIN]]</f>
        <v>18</v>
      </c>
      <c r="G16">
        <v>2</v>
      </c>
      <c r="H16">
        <v>1</v>
      </c>
      <c r="I16">
        <v>0</v>
      </c>
      <c r="J16">
        <v>3</v>
      </c>
      <c r="K16">
        <v>6</v>
      </c>
      <c r="L16">
        <v>9</v>
      </c>
    </row>
    <row r="17" spans="1:12" x14ac:dyDescent="0.25">
      <c r="A17">
        <v>16</v>
      </c>
      <c r="B17" t="s">
        <v>27</v>
      </c>
      <c r="C17">
        <v>9</v>
      </c>
      <c r="D17">
        <v>21</v>
      </c>
      <c r="E17">
        <v>3</v>
      </c>
      <c r="F17">
        <f>danesiata__2[[#This Row],[PLAYED]]-danesiata__2[[#This Row],[WIN]]</f>
        <v>18</v>
      </c>
      <c r="G17">
        <v>1</v>
      </c>
      <c r="H17">
        <v>1</v>
      </c>
      <c r="I17">
        <v>1</v>
      </c>
      <c r="J17">
        <v>1</v>
      </c>
      <c r="K17">
        <v>11</v>
      </c>
      <c r="L17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787B3-4368-43E5-BC63-98543DB0D44A}">
  <dimension ref="A1:L17"/>
  <sheetViews>
    <sheetView workbookViewId="0">
      <selection sqref="A1:L1"/>
    </sheetView>
  </sheetViews>
  <sheetFormatPr defaultRowHeight="15" x14ac:dyDescent="0.25"/>
  <cols>
    <col min="1" max="1" width="12.85546875" bestFit="1" customWidth="1"/>
    <col min="2" max="2" width="35.28515625" bestFit="1" customWidth="1"/>
    <col min="3" max="9" width="11.42578125" bestFit="1" customWidth="1"/>
    <col min="10" max="17" width="12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t="s">
        <v>11</v>
      </c>
    </row>
    <row r="2" spans="1:12" x14ac:dyDescent="0.25">
      <c r="A2">
        <v>1</v>
      </c>
      <c r="B2" t="s">
        <v>12</v>
      </c>
      <c r="C2">
        <v>75</v>
      </c>
      <c r="D2">
        <v>30</v>
      </c>
      <c r="E2">
        <v>25</v>
      </c>
      <c r="F2">
        <v>5</v>
      </c>
      <c r="G2">
        <v>14</v>
      </c>
      <c r="H2">
        <v>10</v>
      </c>
      <c r="I2">
        <v>1</v>
      </c>
      <c r="J2">
        <v>1</v>
      </c>
      <c r="K2">
        <v>3</v>
      </c>
      <c r="L2">
        <v>1</v>
      </c>
    </row>
    <row r="3" spans="1:12" x14ac:dyDescent="0.25">
      <c r="A3">
        <v>2</v>
      </c>
      <c r="B3" t="s">
        <v>14</v>
      </c>
      <c r="C3">
        <v>70</v>
      </c>
      <c r="D3">
        <v>30</v>
      </c>
      <c r="E3">
        <v>24</v>
      </c>
      <c r="F3">
        <v>6</v>
      </c>
      <c r="G3">
        <v>12</v>
      </c>
      <c r="H3">
        <v>8</v>
      </c>
      <c r="I3">
        <v>4</v>
      </c>
      <c r="J3">
        <v>2</v>
      </c>
      <c r="K3">
        <v>3</v>
      </c>
      <c r="L3">
        <v>1</v>
      </c>
    </row>
    <row r="4" spans="1:12" x14ac:dyDescent="0.25">
      <c r="A4">
        <v>3</v>
      </c>
      <c r="B4" t="s">
        <v>28</v>
      </c>
      <c r="C4">
        <v>69</v>
      </c>
      <c r="D4">
        <v>30</v>
      </c>
      <c r="E4">
        <v>23</v>
      </c>
      <c r="F4">
        <v>7</v>
      </c>
      <c r="G4">
        <v>14</v>
      </c>
      <c r="H4">
        <v>7</v>
      </c>
      <c r="I4">
        <v>2</v>
      </c>
      <c r="J4">
        <v>2</v>
      </c>
      <c r="K4">
        <v>3</v>
      </c>
      <c r="L4">
        <v>2</v>
      </c>
    </row>
    <row r="5" spans="1:12" x14ac:dyDescent="0.25">
      <c r="A5">
        <v>4</v>
      </c>
      <c r="B5" t="s">
        <v>18</v>
      </c>
      <c r="C5">
        <v>61</v>
      </c>
      <c r="D5">
        <v>30</v>
      </c>
      <c r="E5">
        <v>22</v>
      </c>
      <c r="F5">
        <v>8</v>
      </c>
      <c r="G5">
        <v>9</v>
      </c>
      <c r="H5">
        <v>8</v>
      </c>
      <c r="I5">
        <v>5</v>
      </c>
      <c r="J5">
        <v>0</v>
      </c>
      <c r="K5">
        <v>8</v>
      </c>
      <c r="L5">
        <v>0</v>
      </c>
    </row>
    <row r="6" spans="1:12" x14ac:dyDescent="0.25">
      <c r="A6">
        <v>5</v>
      </c>
      <c r="B6" t="s">
        <v>23</v>
      </c>
      <c r="C6">
        <v>54</v>
      </c>
      <c r="D6">
        <v>30</v>
      </c>
      <c r="E6">
        <v>17</v>
      </c>
      <c r="F6">
        <v>13</v>
      </c>
      <c r="G6">
        <v>9</v>
      </c>
      <c r="H6">
        <v>6</v>
      </c>
      <c r="I6">
        <v>2</v>
      </c>
      <c r="J6">
        <v>5</v>
      </c>
      <c r="K6">
        <v>4</v>
      </c>
      <c r="L6">
        <v>4</v>
      </c>
    </row>
    <row r="7" spans="1:12" x14ac:dyDescent="0.25">
      <c r="A7">
        <v>6</v>
      </c>
      <c r="B7" t="s">
        <v>15</v>
      </c>
      <c r="C7">
        <v>52</v>
      </c>
      <c r="D7">
        <v>30</v>
      </c>
      <c r="E7">
        <v>18</v>
      </c>
      <c r="F7">
        <v>12</v>
      </c>
      <c r="G7">
        <v>7</v>
      </c>
      <c r="H7">
        <v>5</v>
      </c>
      <c r="I7">
        <v>6</v>
      </c>
      <c r="J7">
        <v>4</v>
      </c>
      <c r="K7">
        <v>4</v>
      </c>
      <c r="L7">
        <v>4</v>
      </c>
    </row>
    <row r="8" spans="1:12" x14ac:dyDescent="0.25">
      <c r="A8">
        <v>7</v>
      </c>
      <c r="B8" t="s">
        <v>24</v>
      </c>
      <c r="C8">
        <v>46</v>
      </c>
      <c r="D8">
        <v>30</v>
      </c>
      <c r="E8">
        <v>15</v>
      </c>
      <c r="F8">
        <v>15</v>
      </c>
      <c r="G8">
        <v>4</v>
      </c>
      <c r="H8">
        <v>7</v>
      </c>
      <c r="I8">
        <v>4</v>
      </c>
      <c r="J8">
        <v>5</v>
      </c>
      <c r="K8">
        <v>6</v>
      </c>
      <c r="L8">
        <v>4</v>
      </c>
    </row>
    <row r="9" spans="1:12" x14ac:dyDescent="0.25">
      <c r="A9">
        <v>8</v>
      </c>
      <c r="B9" t="s">
        <v>21</v>
      </c>
      <c r="C9">
        <v>45</v>
      </c>
      <c r="D9">
        <v>30</v>
      </c>
      <c r="E9">
        <v>13</v>
      </c>
      <c r="F9">
        <v>17</v>
      </c>
      <c r="G9">
        <v>6</v>
      </c>
      <c r="H9">
        <v>5</v>
      </c>
      <c r="I9">
        <v>2</v>
      </c>
      <c r="J9">
        <v>8</v>
      </c>
      <c r="K9">
        <v>4</v>
      </c>
      <c r="L9">
        <v>5</v>
      </c>
    </row>
    <row r="10" spans="1:12" x14ac:dyDescent="0.25">
      <c r="A10">
        <v>9</v>
      </c>
      <c r="B10" t="s">
        <v>29</v>
      </c>
      <c r="C10">
        <v>42</v>
      </c>
      <c r="D10">
        <v>30</v>
      </c>
      <c r="E10">
        <v>15</v>
      </c>
      <c r="F10">
        <v>15</v>
      </c>
      <c r="G10">
        <v>4</v>
      </c>
      <c r="H10">
        <v>7</v>
      </c>
      <c r="I10">
        <v>4</v>
      </c>
      <c r="J10">
        <v>1</v>
      </c>
      <c r="K10">
        <v>7</v>
      </c>
      <c r="L10">
        <v>7</v>
      </c>
    </row>
    <row r="11" spans="1:12" x14ac:dyDescent="0.25">
      <c r="A11">
        <v>10</v>
      </c>
      <c r="B11" t="s">
        <v>30</v>
      </c>
      <c r="C11">
        <v>39</v>
      </c>
      <c r="D11">
        <v>30</v>
      </c>
      <c r="E11">
        <v>13</v>
      </c>
      <c r="F11">
        <v>17</v>
      </c>
      <c r="G11">
        <v>8</v>
      </c>
      <c r="H11">
        <v>3</v>
      </c>
      <c r="I11">
        <v>2</v>
      </c>
      <c r="J11">
        <v>2</v>
      </c>
      <c r="K11">
        <v>8</v>
      </c>
      <c r="L11">
        <v>7</v>
      </c>
    </row>
    <row r="12" spans="1:12" x14ac:dyDescent="0.25">
      <c r="A12">
        <v>11</v>
      </c>
      <c r="B12" t="s">
        <v>25</v>
      </c>
      <c r="C12">
        <v>38</v>
      </c>
      <c r="D12">
        <v>30</v>
      </c>
      <c r="E12">
        <v>13</v>
      </c>
      <c r="F12">
        <v>17</v>
      </c>
      <c r="G12">
        <v>4</v>
      </c>
      <c r="H12">
        <v>5</v>
      </c>
      <c r="I12">
        <v>4</v>
      </c>
      <c r="J12">
        <v>3</v>
      </c>
      <c r="K12">
        <v>6</v>
      </c>
      <c r="L12">
        <v>8</v>
      </c>
    </row>
    <row r="13" spans="1:12" x14ac:dyDescent="0.25">
      <c r="A13">
        <v>12</v>
      </c>
      <c r="B13" t="s">
        <v>20</v>
      </c>
      <c r="C13">
        <v>29</v>
      </c>
      <c r="D13">
        <v>30</v>
      </c>
      <c r="E13">
        <v>10</v>
      </c>
      <c r="F13">
        <v>20</v>
      </c>
      <c r="G13">
        <v>3</v>
      </c>
      <c r="H13">
        <v>4</v>
      </c>
      <c r="I13">
        <v>3</v>
      </c>
      <c r="J13">
        <v>2</v>
      </c>
      <c r="K13">
        <v>8</v>
      </c>
      <c r="L13">
        <v>10</v>
      </c>
    </row>
    <row r="14" spans="1:12" x14ac:dyDescent="0.25">
      <c r="A14">
        <v>13</v>
      </c>
      <c r="B14" t="s">
        <v>31</v>
      </c>
      <c r="C14">
        <v>29</v>
      </c>
      <c r="D14">
        <v>30</v>
      </c>
      <c r="E14">
        <v>9</v>
      </c>
      <c r="F14">
        <v>21</v>
      </c>
      <c r="G14">
        <v>4</v>
      </c>
      <c r="H14">
        <v>2</v>
      </c>
      <c r="I14">
        <v>3</v>
      </c>
      <c r="J14">
        <v>5</v>
      </c>
      <c r="K14">
        <v>6</v>
      </c>
      <c r="L14">
        <v>10</v>
      </c>
    </row>
    <row r="15" spans="1:12" x14ac:dyDescent="0.25">
      <c r="A15">
        <v>14</v>
      </c>
      <c r="B15" t="s">
        <v>27</v>
      </c>
      <c r="C15">
        <v>27</v>
      </c>
      <c r="D15">
        <v>30</v>
      </c>
      <c r="E15">
        <v>9</v>
      </c>
      <c r="F15">
        <v>21</v>
      </c>
      <c r="G15">
        <v>3</v>
      </c>
      <c r="H15">
        <v>2</v>
      </c>
      <c r="I15">
        <v>4</v>
      </c>
      <c r="J15">
        <v>4</v>
      </c>
      <c r="K15">
        <v>7</v>
      </c>
      <c r="L15">
        <v>10</v>
      </c>
    </row>
    <row r="16" spans="1:12" x14ac:dyDescent="0.25">
      <c r="A16">
        <v>15</v>
      </c>
      <c r="B16" t="s">
        <v>32</v>
      </c>
      <c r="C16">
        <v>24</v>
      </c>
      <c r="D16">
        <v>30</v>
      </c>
      <c r="E16">
        <v>7</v>
      </c>
      <c r="F16">
        <v>23</v>
      </c>
      <c r="G16">
        <v>0</v>
      </c>
      <c r="H16">
        <v>6</v>
      </c>
      <c r="I16">
        <v>1</v>
      </c>
      <c r="J16">
        <v>4</v>
      </c>
      <c r="K16">
        <v>5</v>
      </c>
      <c r="L16">
        <v>14</v>
      </c>
    </row>
    <row r="17" spans="1:12" x14ac:dyDescent="0.25">
      <c r="A17">
        <v>16</v>
      </c>
      <c r="B17" t="s">
        <v>33</v>
      </c>
      <c r="C17">
        <v>20</v>
      </c>
      <c r="D17">
        <v>30</v>
      </c>
      <c r="E17">
        <v>7</v>
      </c>
      <c r="F17">
        <v>23</v>
      </c>
      <c r="G17">
        <v>2</v>
      </c>
      <c r="H17">
        <v>3</v>
      </c>
      <c r="I17">
        <v>2</v>
      </c>
      <c r="J17">
        <v>1</v>
      </c>
      <c r="K17">
        <v>6</v>
      </c>
      <c r="L17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2FCF-1843-4E0A-87B9-0D9DBC35BB41}">
  <dimension ref="A1:L17"/>
  <sheetViews>
    <sheetView topLeftCell="B1" workbookViewId="0">
      <selection activeCell="F17" sqref="F17"/>
    </sheetView>
  </sheetViews>
  <sheetFormatPr defaultRowHeight="15" x14ac:dyDescent="0.25"/>
  <cols>
    <col min="1" max="1" width="12.85546875" bestFit="1" customWidth="1"/>
    <col min="2" max="2" width="33.140625" bestFit="1" customWidth="1"/>
    <col min="3" max="9" width="11.42578125" bestFit="1" customWidth="1"/>
    <col min="10" max="18" width="12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t="s">
        <v>11</v>
      </c>
    </row>
    <row r="2" spans="1:12" x14ac:dyDescent="0.25">
      <c r="A2">
        <v>1</v>
      </c>
      <c r="B2" t="s">
        <v>18</v>
      </c>
      <c r="C2">
        <v>72</v>
      </c>
      <c r="D2">
        <v>30</v>
      </c>
      <c r="E2">
        <v>24</v>
      </c>
      <c r="F2">
        <f>dane20222023[[#This Row],[PLAYED]]-dane20222023[[#This Row],[WIN]]</f>
        <v>6</v>
      </c>
      <c r="G2">
        <v>8</v>
      </c>
      <c r="H2">
        <v>2</v>
      </c>
      <c r="I2">
        <v>2</v>
      </c>
      <c r="J2">
        <v>2</v>
      </c>
      <c r="K2">
        <v>2</v>
      </c>
    </row>
    <row r="3" spans="1:12" x14ac:dyDescent="0.25">
      <c r="A3">
        <v>2</v>
      </c>
      <c r="B3" t="s">
        <v>14</v>
      </c>
      <c r="C3">
        <v>68</v>
      </c>
      <c r="D3">
        <v>30</v>
      </c>
      <c r="E3">
        <v>24</v>
      </c>
      <c r="F3">
        <f>dane20222023[[#This Row],[PLAYED]]-dane20222023[[#This Row],[WIN]]</f>
        <v>6</v>
      </c>
      <c r="G3">
        <v>7</v>
      </c>
      <c r="H3">
        <v>6</v>
      </c>
      <c r="I3">
        <v>2</v>
      </c>
      <c r="J3">
        <v>1</v>
      </c>
      <c r="K3">
        <v>3</v>
      </c>
    </row>
    <row r="4" spans="1:12" x14ac:dyDescent="0.25">
      <c r="A4">
        <v>3</v>
      </c>
      <c r="B4" t="s">
        <v>12</v>
      </c>
      <c r="C4">
        <v>67</v>
      </c>
      <c r="D4">
        <v>30</v>
      </c>
      <c r="E4">
        <v>21</v>
      </c>
      <c r="F4">
        <f>dane20222023[[#This Row],[PLAYED]]-dane20222023[[#This Row],[WIN]]</f>
        <v>9</v>
      </c>
      <c r="G4">
        <v>5</v>
      </c>
      <c r="H4">
        <v>1</v>
      </c>
      <c r="I4">
        <v>5</v>
      </c>
      <c r="J4">
        <v>4</v>
      </c>
      <c r="K4">
        <v>0</v>
      </c>
    </row>
    <row r="5" spans="1:12" x14ac:dyDescent="0.25">
      <c r="A5">
        <v>4</v>
      </c>
      <c r="B5" t="s">
        <v>30</v>
      </c>
      <c r="C5">
        <v>64</v>
      </c>
      <c r="D5">
        <v>30</v>
      </c>
      <c r="E5">
        <v>22</v>
      </c>
      <c r="F5">
        <f>dane20222023[[#This Row],[PLAYED]]-dane20222023[[#This Row],[WIN]]</f>
        <v>8</v>
      </c>
      <c r="G5">
        <v>9</v>
      </c>
      <c r="H5">
        <v>4</v>
      </c>
      <c r="I5">
        <v>2</v>
      </c>
      <c r="J5">
        <v>3</v>
      </c>
      <c r="K5">
        <v>3</v>
      </c>
    </row>
    <row r="6" spans="1:12" x14ac:dyDescent="0.25">
      <c r="A6">
        <v>5</v>
      </c>
      <c r="B6" t="s">
        <v>28</v>
      </c>
      <c r="C6">
        <v>60</v>
      </c>
      <c r="D6">
        <v>30</v>
      </c>
      <c r="E6">
        <v>21</v>
      </c>
      <c r="F6">
        <f>dane20222023[[#This Row],[PLAYED]]-dane20222023[[#This Row],[WIN]]</f>
        <v>9</v>
      </c>
      <c r="G6">
        <v>7</v>
      </c>
      <c r="H6">
        <v>4</v>
      </c>
      <c r="I6">
        <v>1</v>
      </c>
      <c r="J6">
        <v>5</v>
      </c>
      <c r="K6">
        <v>3</v>
      </c>
    </row>
    <row r="7" spans="1:12" x14ac:dyDescent="0.25">
      <c r="A7">
        <v>6</v>
      </c>
      <c r="B7" t="s">
        <v>23</v>
      </c>
      <c r="C7">
        <v>57</v>
      </c>
      <c r="D7">
        <v>30</v>
      </c>
      <c r="E7">
        <v>20</v>
      </c>
      <c r="F7">
        <f>dane20222023[[#This Row],[PLAYED]]-dane20222023[[#This Row],[WIN]]</f>
        <v>10</v>
      </c>
      <c r="G7">
        <v>6</v>
      </c>
      <c r="H7">
        <v>4</v>
      </c>
      <c r="I7">
        <v>1</v>
      </c>
      <c r="J7">
        <v>4</v>
      </c>
      <c r="K7">
        <v>5</v>
      </c>
    </row>
    <row r="8" spans="1:12" x14ac:dyDescent="0.25">
      <c r="A8">
        <v>7</v>
      </c>
      <c r="B8" t="s">
        <v>21</v>
      </c>
      <c r="C8">
        <v>54</v>
      </c>
      <c r="D8">
        <v>30</v>
      </c>
      <c r="E8">
        <v>19</v>
      </c>
      <c r="F8">
        <f>dane20222023[[#This Row],[PLAYED]]-dane20222023[[#This Row],[WIN]]</f>
        <v>11</v>
      </c>
      <c r="G8">
        <v>7</v>
      </c>
      <c r="H8">
        <v>4</v>
      </c>
      <c r="I8">
        <v>1</v>
      </c>
      <c r="J8">
        <v>6</v>
      </c>
      <c r="K8">
        <v>4</v>
      </c>
    </row>
    <row r="9" spans="1:12" x14ac:dyDescent="0.25">
      <c r="A9">
        <v>8</v>
      </c>
      <c r="B9" t="s">
        <v>24</v>
      </c>
      <c r="C9">
        <v>44</v>
      </c>
      <c r="D9">
        <v>30</v>
      </c>
      <c r="E9">
        <v>14</v>
      </c>
      <c r="F9">
        <f>dane20222023[[#This Row],[PLAYED]]-dane20222023[[#This Row],[WIN]]</f>
        <v>16</v>
      </c>
      <c r="G9">
        <v>4</v>
      </c>
      <c r="H9">
        <v>1</v>
      </c>
      <c r="I9">
        <v>3</v>
      </c>
      <c r="J9">
        <v>6</v>
      </c>
      <c r="K9">
        <v>7</v>
      </c>
    </row>
    <row r="10" spans="1:12" x14ac:dyDescent="0.25">
      <c r="A10">
        <v>9</v>
      </c>
      <c r="B10" t="s">
        <v>34</v>
      </c>
      <c r="C10">
        <v>43</v>
      </c>
      <c r="D10">
        <v>30</v>
      </c>
      <c r="E10">
        <v>15</v>
      </c>
      <c r="F10">
        <f>dane20222023[[#This Row],[PLAYED]]-dane20222023[[#This Row],[WIN]]</f>
        <v>15</v>
      </c>
      <c r="G10">
        <v>7</v>
      </c>
      <c r="H10">
        <v>5</v>
      </c>
      <c r="I10">
        <v>3</v>
      </c>
      <c r="J10">
        <v>5</v>
      </c>
      <c r="K10">
        <v>7</v>
      </c>
    </row>
    <row r="11" spans="1:12" x14ac:dyDescent="0.25">
      <c r="A11">
        <v>10</v>
      </c>
      <c r="B11" t="s">
        <v>20</v>
      </c>
      <c r="C11">
        <v>41</v>
      </c>
      <c r="D11">
        <v>30</v>
      </c>
      <c r="E11">
        <v>13</v>
      </c>
      <c r="F11">
        <f>dane20222023[[#This Row],[PLAYED]]-dane20222023[[#This Row],[WIN]]</f>
        <v>17</v>
      </c>
      <c r="G11">
        <v>4</v>
      </c>
      <c r="H11">
        <v>2</v>
      </c>
      <c r="I11">
        <v>4</v>
      </c>
      <c r="J11">
        <v>7</v>
      </c>
      <c r="K11">
        <v>6</v>
      </c>
    </row>
    <row r="12" spans="1:12" x14ac:dyDescent="0.25">
      <c r="A12">
        <v>11</v>
      </c>
      <c r="B12" t="s">
        <v>35</v>
      </c>
      <c r="C12">
        <v>39</v>
      </c>
      <c r="D12">
        <v>30</v>
      </c>
      <c r="E12">
        <v>11</v>
      </c>
      <c r="F12">
        <f>dane20222023[[#This Row],[PLAYED]]-dane20222023[[#This Row],[WIN]]</f>
        <v>19</v>
      </c>
      <c r="G12">
        <v>2</v>
      </c>
      <c r="H12">
        <v>4</v>
      </c>
      <c r="I12">
        <v>10</v>
      </c>
      <c r="J12">
        <v>2</v>
      </c>
      <c r="K12">
        <v>7</v>
      </c>
    </row>
    <row r="13" spans="1:12" x14ac:dyDescent="0.25">
      <c r="A13">
        <v>12</v>
      </c>
      <c r="B13" t="s">
        <v>27</v>
      </c>
      <c r="C13">
        <v>32</v>
      </c>
      <c r="D13">
        <v>30</v>
      </c>
      <c r="E13">
        <v>12</v>
      </c>
      <c r="F13">
        <f>dane20222023[[#This Row],[PLAYED]]-dane20222023[[#This Row],[WIN]]</f>
        <v>18</v>
      </c>
      <c r="G13">
        <v>2</v>
      </c>
      <c r="H13">
        <v>5</v>
      </c>
      <c r="I13">
        <v>1</v>
      </c>
      <c r="J13">
        <v>3</v>
      </c>
      <c r="K13">
        <v>14</v>
      </c>
    </row>
    <row r="14" spans="1:12" x14ac:dyDescent="0.25">
      <c r="A14">
        <v>13</v>
      </c>
      <c r="B14" t="s">
        <v>25</v>
      </c>
      <c r="C14">
        <v>30</v>
      </c>
      <c r="D14">
        <v>30</v>
      </c>
      <c r="E14">
        <v>8</v>
      </c>
      <c r="F14">
        <f>dane20222023[[#This Row],[PLAYED]]-dane20222023[[#This Row],[WIN]]</f>
        <v>22</v>
      </c>
      <c r="G14">
        <v>2</v>
      </c>
      <c r="H14">
        <v>1</v>
      </c>
      <c r="I14">
        <v>7</v>
      </c>
      <c r="J14">
        <v>4</v>
      </c>
      <c r="K14">
        <v>11</v>
      </c>
    </row>
    <row r="15" spans="1:12" x14ac:dyDescent="0.25">
      <c r="A15">
        <v>14</v>
      </c>
      <c r="B15" t="s">
        <v>36</v>
      </c>
      <c r="C15">
        <v>27</v>
      </c>
      <c r="D15">
        <v>30</v>
      </c>
      <c r="E15">
        <v>10</v>
      </c>
      <c r="F15">
        <f>dane20222023[[#This Row],[PLAYED]]-dane20222023[[#This Row],[WIN]]</f>
        <v>20</v>
      </c>
      <c r="G15">
        <v>3</v>
      </c>
      <c r="H15">
        <v>6</v>
      </c>
      <c r="I15">
        <v>3</v>
      </c>
      <c r="J15">
        <v>6</v>
      </c>
      <c r="K15">
        <v>11</v>
      </c>
    </row>
    <row r="16" spans="1:12" x14ac:dyDescent="0.25">
      <c r="A16">
        <v>15</v>
      </c>
      <c r="B16" t="s">
        <v>37</v>
      </c>
      <c r="C16">
        <v>14</v>
      </c>
      <c r="D16">
        <v>30</v>
      </c>
      <c r="E16">
        <v>3</v>
      </c>
      <c r="F16">
        <f>dane20222023[[#This Row],[PLAYED]]-dane20222023[[#This Row],[WIN]]</f>
        <v>27</v>
      </c>
      <c r="G16">
        <v>0</v>
      </c>
      <c r="H16">
        <v>1</v>
      </c>
      <c r="I16">
        <v>6</v>
      </c>
      <c r="J16">
        <v>6</v>
      </c>
      <c r="K16">
        <v>15</v>
      </c>
    </row>
    <row r="17" spans="1:11" x14ac:dyDescent="0.25">
      <c r="A17">
        <v>16</v>
      </c>
      <c r="B17" t="s">
        <v>38</v>
      </c>
      <c r="C17">
        <v>8</v>
      </c>
      <c r="D17">
        <v>30</v>
      </c>
      <c r="E17">
        <v>3</v>
      </c>
      <c r="F17">
        <f>dane20222023[[#This Row],[PLAYED]]-dane20222023[[#This Row],[WIN]]</f>
        <v>27</v>
      </c>
      <c r="G17">
        <v>0</v>
      </c>
      <c r="H17">
        <v>3</v>
      </c>
      <c r="I17">
        <v>2</v>
      </c>
      <c r="J17">
        <v>9</v>
      </c>
      <c r="K17">
        <v>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856E-5A17-47D8-B067-AE3CE4C755DF}">
  <dimension ref="C1:J12"/>
  <sheetViews>
    <sheetView tabSelected="1" workbookViewId="0">
      <selection activeCell="H4" sqref="H4"/>
    </sheetView>
  </sheetViews>
  <sheetFormatPr defaultRowHeight="15" x14ac:dyDescent="0.25"/>
  <cols>
    <col min="2" max="2" width="34.140625" customWidth="1"/>
    <col min="3" max="3" width="9.140625" hidden="1" customWidth="1"/>
    <col min="4" max="4" width="20.42578125" customWidth="1"/>
    <col min="5" max="5" width="26.28515625" bestFit="1" customWidth="1"/>
  </cols>
  <sheetData>
    <row r="1" spans="4:10" ht="15.75" x14ac:dyDescent="0.25">
      <c r="D1" s="3" t="s">
        <v>43</v>
      </c>
      <c r="E1" s="5" t="s">
        <v>20</v>
      </c>
    </row>
    <row r="2" spans="4:10" ht="15.75" x14ac:dyDescent="0.25">
      <c r="D2" s="6"/>
      <c r="E2" s="7" t="s">
        <v>42</v>
      </c>
      <c r="F2" s="7" t="s">
        <v>5</v>
      </c>
      <c r="G2" s="3"/>
    </row>
    <row r="3" spans="4:10" x14ac:dyDescent="0.25">
      <c r="D3" s="8" t="s">
        <v>39</v>
      </c>
      <c r="E3" s="10">
        <f t="shared" ref="E3:E4" ca="1" si="0">VLOOKUP($E$1,INDIRECT("'"&amp;D3&amp;"'"&amp;"!"&amp;"$B$2:$L$17"),4,FALSE)</f>
        <v>13</v>
      </c>
      <c r="F3" s="11">
        <f ca="1">VLOOKUP($E$1,INDIRECT("'"&amp;D3&amp;"'"&amp;"!"&amp;"$B$2:$L$17"),5,FALSE)</f>
        <v>17</v>
      </c>
    </row>
    <row r="4" spans="4:10" x14ac:dyDescent="0.25">
      <c r="D4" s="8" t="s">
        <v>40</v>
      </c>
      <c r="E4" s="10">
        <f t="shared" ca="1" si="0"/>
        <v>10</v>
      </c>
      <c r="F4" s="11">
        <f ca="1">VLOOKUP($E$1,INDIRECT("'"&amp;D4&amp;"'"&amp;"!"&amp;"$B$2:$S$71"),5,FALSE)</f>
        <v>20</v>
      </c>
    </row>
    <row r="5" spans="4:10" x14ac:dyDescent="0.25">
      <c r="D5" s="8" t="s">
        <v>41</v>
      </c>
      <c r="E5" s="10">
        <f ca="1">VLOOKUP($E$1,INDIRECT("'"&amp;D5&amp;"'"&amp;"!"&amp;"$B$2:$L$17"),4,FALSE)</f>
        <v>11</v>
      </c>
      <c r="F5" s="11">
        <f ca="1">VLOOKUP($E$1,INDIRECT("'"&amp;D5&amp;"'"&amp;"!"&amp;"$B$2:$S$71"),5,FALSE)</f>
        <v>10</v>
      </c>
    </row>
    <row r="9" spans="4:10" x14ac:dyDescent="0.25">
      <c r="E9" s="4"/>
    </row>
    <row r="10" spans="4:10" x14ac:dyDescent="0.25">
      <c r="E10" s="9">
        <v>13</v>
      </c>
      <c r="F10" s="6">
        <v>17</v>
      </c>
      <c r="J10">
        <f>E10</f>
        <v>13</v>
      </c>
    </row>
    <row r="11" spans="4:10" x14ac:dyDescent="0.25">
      <c r="J11">
        <f>F10</f>
        <v>17</v>
      </c>
    </row>
    <row r="12" spans="4:10" x14ac:dyDescent="0.25">
      <c r="J12">
        <f>J10+J11</f>
        <v>30</v>
      </c>
    </row>
  </sheetData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dwa">
                <anchor moveWithCells="1" sizeWithCells="1">
                  <from>
                    <xdr:col>1</xdr:col>
                    <xdr:colOff>0</xdr:colOff>
                    <xdr:row>5</xdr:row>
                    <xdr:rowOff>123825</xdr:rowOff>
                  </from>
                  <to>
                    <xdr:col>1</xdr:col>
                    <xdr:colOff>2257425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zy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1</xdr:col>
                    <xdr:colOff>2266950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ztery">
                <anchor moveWithCells="1" sizeWithCells="1">
                  <from>
                    <xdr:col>1</xdr:col>
                    <xdr:colOff>0</xdr:colOff>
                    <xdr:row>10</xdr:row>
                    <xdr:rowOff>85725</xdr:rowOff>
                  </from>
                  <to>
                    <xdr:col>1</xdr:col>
                    <xdr:colOff>2257425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3CA722-D9D0-43E8-B86F-55270B9CD6B5}">
          <x14:formula1>
            <xm:f>'2024-2025'!$B$2:$B$17</xm:f>
          </x14:formula1>
          <xm:sqref>E1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1927A-8DF3-491E-B724-1339DCEE156F}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89041-2988-4143-9225-328B2C3722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2024-2025</vt:lpstr>
      <vt:lpstr>2023-2024</vt:lpstr>
      <vt:lpstr>2022-2023</vt:lpstr>
      <vt:lpstr>ZESTAWIENI</vt:lpstr>
      <vt:lpstr>MAPAZWYCĘZCY</vt:lpstr>
      <vt:lpstr>WINS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Tyzo, Jacek</dc:creator>
  <cp:keywords/>
  <dc:description/>
  <cp:lastModifiedBy>Tyzo, Jacek</cp:lastModifiedBy>
  <cp:revision/>
  <dcterms:created xsi:type="dcterms:W3CDTF">2025-01-23T09:48:39Z</dcterms:created>
  <dcterms:modified xsi:type="dcterms:W3CDTF">2025-01-30T10:19:58Z</dcterms:modified>
  <cp:category/>
  <cp:contentStatus/>
</cp:coreProperties>
</file>